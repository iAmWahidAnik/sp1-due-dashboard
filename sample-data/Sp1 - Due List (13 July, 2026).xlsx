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wahid\Downloads\"/>
    </mc:Choice>
  </mc:AlternateContent>
  <xr:revisionPtr revIDLastSave="0" documentId="13_ncr:1_{228A8386-A3CF-4E9F-9DC1-97823F85BEB7}" xr6:coauthVersionLast="36" xr6:coauthVersionMax="47" xr10:uidLastSave="{00000000-0000-0000-0000-000000000000}"/>
  <bookViews>
    <workbookView xWindow="0" yWindow="0" windowWidth="21570" windowHeight="8100" xr2:uid="{00000000-000D-0000-FFFF-FFFF00000000}"/>
  </bookViews>
  <sheets>
    <sheet name="11 July" sheetId="2" r:id="rId1"/>
    <sheet name="Sheet1" sheetId="1" r:id="rId2"/>
  </sheets>
  <calcPr calcId="191029"/>
</workbook>
</file>

<file path=xl/calcChain.xml><?xml version="1.0" encoding="utf-8"?>
<calcChain xmlns="http://schemas.openxmlformats.org/spreadsheetml/2006/main">
  <c r="C36" i="2" l="1"/>
  <c r="E32" i="2"/>
  <c r="E33" i="2"/>
  <c r="E31" i="2"/>
  <c r="E30" i="2"/>
  <c r="E29" i="2"/>
  <c r="E11" i="2" l="1"/>
  <c r="E20" i="2"/>
  <c r="E28" i="2"/>
  <c r="E18" i="2"/>
  <c r="E23" i="2"/>
  <c r="E24" i="2"/>
  <c r="E19" i="2"/>
  <c r="E16" i="2"/>
  <c r="E15" i="2"/>
  <c r="E25" i="2"/>
  <c r="E8" i="2"/>
  <c r="E27" i="2"/>
  <c r="E9" i="2"/>
  <c r="E26" i="2"/>
  <c r="E7" i="2"/>
  <c r="E6" i="2"/>
  <c r="E10" i="2"/>
  <c r="E14" i="2"/>
  <c r="E17" i="2"/>
  <c r="E13" i="2"/>
  <c r="C31" i="2"/>
  <c r="C17" i="2"/>
  <c r="C25" i="2"/>
  <c r="C29" i="2"/>
  <c r="C19" i="2"/>
  <c r="C18" i="2"/>
  <c r="H17" i="1"/>
  <c r="E17" i="1"/>
  <c r="C17" i="1"/>
  <c r="C13" i="1"/>
  <c r="H11" i="1"/>
  <c r="C11" i="1"/>
  <c r="C10" i="1"/>
  <c r="H6" i="1"/>
  <c r="C4" i="1"/>
  <c r="H3" i="1"/>
  <c r="C3" i="1"/>
  <c r="C2" i="1"/>
</calcChain>
</file>

<file path=xl/sharedStrings.xml><?xml version="1.0" encoding="utf-8"?>
<sst xmlns="http://schemas.openxmlformats.org/spreadsheetml/2006/main" count="70" uniqueCount="46">
  <si>
    <t>Name</t>
  </si>
  <si>
    <t>Amount</t>
  </si>
  <si>
    <t>Update Date</t>
  </si>
  <si>
    <t xml:space="preserve">Name </t>
  </si>
  <si>
    <t>Masud Motors (amtola)</t>
  </si>
  <si>
    <t>Raisa ENT</t>
  </si>
  <si>
    <t>Ibrahim (Bike Bari)</t>
  </si>
  <si>
    <t>Faruk (Mamun Vai)</t>
  </si>
  <si>
    <t xml:space="preserve">Borhan Boss </t>
  </si>
  <si>
    <t>Sagor - Kabir - BN Collage</t>
  </si>
  <si>
    <t>Sumon/Mohon (SM Motors)</t>
  </si>
  <si>
    <t>Zubayer</t>
  </si>
  <si>
    <t>Mukul (Vai Vai Automobiles)</t>
  </si>
  <si>
    <t>Sagor - 14 nmbr</t>
  </si>
  <si>
    <t>Juyel Rana</t>
  </si>
  <si>
    <t>Alomgir</t>
  </si>
  <si>
    <t>Sagor (Anik)</t>
  </si>
  <si>
    <t>Bappy</t>
  </si>
  <si>
    <t>Kabir (Hasan)</t>
  </si>
  <si>
    <t>Hafiz</t>
  </si>
  <si>
    <t>Sahin (Kabir)</t>
  </si>
  <si>
    <t>Sojol</t>
  </si>
  <si>
    <t>Sahin (Anik)</t>
  </si>
  <si>
    <t>Sohel</t>
  </si>
  <si>
    <t>Esmail</t>
  </si>
  <si>
    <t>Akbor (Sohel - Sahin)</t>
  </si>
  <si>
    <t>Rasel (Anik)</t>
  </si>
  <si>
    <t>Anis (kabir - sahin)</t>
  </si>
  <si>
    <t>Mokles</t>
  </si>
  <si>
    <t>Mohin (kabir - Alamgir)</t>
  </si>
  <si>
    <t>Samsul Rana</t>
  </si>
  <si>
    <t>Mamun (kabir)</t>
  </si>
  <si>
    <t xml:space="preserve">Total </t>
  </si>
  <si>
    <t>Grand Total</t>
  </si>
  <si>
    <t>Total</t>
  </si>
  <si>
    <t>SL</t>
  </si>
  <si>
    <t>Last Transaction 
Date</t>
  </si>
  <si>
    <t>Sp1 Global Enterprise</t>
  </si>
  <si>
    <t>Sumon / Mohon (SM Motors)</t>
  </si>
  <si>
    <t>Sagor - 14 No</t>
  </si>
  <si>
    <t>Total Dues</t>
  </si>
  <si>
    <t>Dues Status</t>
  </si>
  <si>
    <t>Day's 
Delayed</t>
  </si>
  <si>
    <t>Sojib (Kabir)</t>
  </si>
  <si>
    <t>Mohin Uddin (Probox)</t>
  </si>
  <si>
    <t>Sumon Itkhola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</si>
</sst>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d\ mmm\ yyyy"/>
    <numFmt numFmtId="165" formatCode="d\ /mmmm\ yyyy"/>
    <numFmt numFmtId="166" formatCode="d\ /mmm\ yyyy"/>
    <numFmt numFmtId="167" formatCode="d\ mmmm\ yyyy"/>
    <numFmt numFmtId="168" formatCode="dd\ /mmm\ yyyy"/>
    <numFmt numFmtId="169" formatCode="[$-409]d\-mmm\-yy;@"/>
    <numFmt numFmtId="170" formatCode="_(* #,##0_);_(* \(#,##0\);_(* &quot;-&quot;??_);_(@_)"/>
  </numFmts>
  <fonts count="15">
    <font>
      <sz val="10"/>
      <color rgb="FF000000"/>
      <name val="Arial"/>
      <scheme val="minor"/>
    </font>
    <font>
      <b/>
      <sz val="20"/>
      <color theme="1"/>
      <name val="Arial"/>
      <scheme val="minor"/>
    </font>
    <font>
      <b/>
      <sz val="20"/>
      <color rgb="FF000000"/>
      <name val="Arial"/>
      <scheme val="minor"/>
    </font>
    <font>
      <b/>
      <sz val="12"/>
      <color theme="1"/>
      <name val="Arial"/>
      <scheme val="minor"/>
    </font>
    <font>
      <sz val="14"/>
      <color theme="1"/>
      <name val="Arial"/>
      <scheme val="minor"/>
    </font>
    <font>
      <sz val="10"/>
      <color theme="1"/>
      <name val="Arial"/>
      <scheme val="minor"/>
    </font>
    <font>
      <b/>
      <sz val="24"/>
      <color rgb="FFFF0000"/>
      <name val="Arial"/>
      <scheme val="minor"/>
    </font>
    <font>
      <sz val="10"/>
      <color rgb="FF000000"/>
      <name val="Arial"/>
      <scheme val="minor"/>
    </font>
    <font>
      <b/>
      <sz val="12"/>
      <color theme="1"/>
      <name val="Aptos"/>
      <family val="2"/>
    </font>
    <font>
      <b/>
      <sz val="13"/>
      <color theme="1"/>
      <name val="Aptos"/>
      <family val="2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sz val="12"/>
      <color theme="1"/>
      <name val="Aptos"/>
      <family val="2"/>
    </font>
    <font>
      <b/>
      <sz val="18"/>
      <color rgb="FF000000"/>
      <name val="Aptos"/>
      <family val="2"/>
    </font>
    <font>
      <b/>
      <sz val="22"/>
      <color rgb="FF000000"/>
      <name val="Aptos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FEFEF"/>
      </patternFill>
    </fill>
    <fill>
      <patternFill patternType="solid">
        <fgColor theme="0"/>
        <bgColor rgb="FFFFFFFF"/>
      </patternFill>
    </fill>
    <fill>
      <patternFill patternType="solid">
        <fgColor rgb="FFFFCCFF"/>
        <bgColor indexed="64"/>
      </patternFill>
    </fill>
    <fill>
      <patternFill patternType="solid">
        <fgColor rgb="FFFFCCFF"/>
        <bgColor rgb="FFFFFF00"/>
      </patternFill>
    </fill>
    <fill>
      <patternFill patternType="solid">
        <fgColor rgb="FFFFFF00"/>
        <bgColor rgb="FFFFFFFF"/>
      </patternFill>
    </fill>
    <fill>
      <patternFill patternType="solid">
        <fgColor rgb="FF66FFFF"/>
        <bgColor rgb="FFFFFFFF"/>
      </patternFill>
    </fill>
    <fill>
      <patternFill patternType="solid">
        <fgColor rgb="FF66FFFF"/>
        <bgColor indexed="64"/>
      </patternFill>
    </fill>
    <fill>
      <patternFill patternType="solid">
        <fgColor rgb="FF66FFFF"/>
        <bgColor rgb="FFF3F3F3"/>
      </patternFill>
    </fill>
    <fill>
      <patternFill patternType="solid">
        <fgColor rgb="FF66FFFF"/>
        <bgColor rgb="FFEFEFEF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F3F3F3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75">
    <xf numFmtId="0" fontId="0" fillId="0" borderId="0" xfId="0"/>
    <xf numFmtId="0" fontId="1" fillId="0" borderId="0" xfId="0" applyFont="1"/>
    <xf numFmtId="0" fontId="2" fillId="2" borderId="0" xfId="0" applyFont="1" applyFill="1"/>
    <xf numFmtId="164" fontId="2" fillId="2" borderId="0" xfId="0" applyNumberFormat="1" applyFont="1" applyFill="1"/>
    <xf numFmtId="0" fontId="1" fillId="0" borderId="0" xfId="0" applyFont="1" applyAlignment="1">
      <alignment horizontal="right"/>
    </xf>
    <xf numFmtId="0" fontId="3" fillId="3" borderId="0" xfId="0" applyFont="1" applyFill="1"/>
    <xf numFmtId="0" fontId="4" fillId="4" borderId="0" xfId="0" applyFont="1" applyFill="1"/>
    <xf numFmtId="3" fontId="4" fillId="4" borderId="0" xfId="0" applyNumberFormat="1" applyFont="1" applyFill="1"/>
    <xf numFmtId="165" fontId="5" fillId="4" borderId="0" xfId="0" applyNumberFormat="1" applyFont="1" applyFill="1" applyAlignment="1">
      <alignment horizontal="left"/>
    </xf>
    <xf numFmtId="0" fontId="3" fillId="0" borderId="0" xfId="0" applyFont="1"/>
    <xf numFmtId="0" fontId="4" fillId="0" borderId="0" xfId="0" applyFont="1"/>
    <xf numFmtId="3" fontId="4" fillId="0" borderId="0" xfId="0" applyNumberFormat="1" applyFont="1"/>
    <xf numFmtId="166" fontId="5" fillId="5" borderId="0" xfId="0" applyNumberFormat="1" applyFont="1" applyFill="1" applyAlignment="1">
      <alignment horizontal="left"/>
    </xf>
    <xf numFmtId="0" fontId="3" fillId="5" borderId="0" xfId="0" applyFont="1" applyFill="1"/>
    <xf numFmtId="166" fontId="5" fillId="0" borderId="0" xfId="0" applyNumberFormat="1" applyFont="1" applyAlignment="1">
      <alignment horizontal="left"/>
    </xf>
    <xf numFmtId="0" fontId="5" fillId="4" borderId="0" xfId="0" applyFont="1" applyFill="1"/>
    <xf numFmtId="0" fontId="3" fillId="4" borderId="0" xfId="0" applyFont="1" applyFill="1"/>
    <xf numFmtId="167" fontId="5" fillId="4" borderId="0" xfId="0" applyNumberFormat="1" applyFont="1" applyFill="1" applyAlignment="1">
      <alignment horizontal="left"/>
    </xf>
    <xf numFmtId="0" fontId="5" fillId="5" borderId="0" xfId="0" applyFont="1" applyFill="1"/>
    <xf numFmtId="165" fontId="5" fillId="0" borderId="0" xfId="0" applyNumberFormat="1" applyFont="1" applyAlignment="1">
      <alignment horizontal="left"/>
    </xf>
    <xf numFmtId="166" fontId="5" fillId="4" borderId="0" xfId="0" applyNumberFormat="1" applyFont="1" applyFill="1" applyAlignment="1">
      <alignment horizontal="left"/>
    </xf>
    <xf numFmtId="0" fontId="4" fillId="5" borderId="0" xfId="0" applyFont="1" applyFill="1"/>
    <xf numFmtId="167" fontId="5" fillId="5" borderId="0" xfId="0" applyNumberFormat="1" applyFont="1" applyFill="1" applyAlignment="1">
      <alignment horizontal="left"/>
    </xf>
    <xf numFmtId="3" fontId="4" fillId="5" borderId="0" xfId="0" applyNumberFormat="1" applyFont="1" applyFill="1"/>
    <xf numFmtId="168" fontId="5" fillId="4" borderId="0" xfId="0" applyNumberFormat="1" applyFont="1" applyFill="1" applyAlignment="1">
      <alignment horizontal="left"/>
    </xf>
    <xf numFmtId="167" fontId="5" fillId="0" borderId="0" xfId="0" applyNumberFormat="1" applyFont="1" applyAlignment="1">
      <alignment horizontal="left"/>
    </xf>
    <xf numFmtId="3" fontId="1" fillId="0" borderId="0" xfId="0" applyNumberFormat="1" applyFont="1"/>
    <xf numFmtId="0" fontId="6" fillId="0" borderId="0" xfId="0" applyFont="1" applyAlignment="1">
      <alignment horizontal="right"/>
    </xf>
    <xf numFmtId="3" fontId="6" fillId="0" borderId="0" xfId="0" applyNumberFormat="1" applyFont="1"/>
    <xf numFmtId="0" fontId="11" fillId="6" borderId="0" xfId="0" applyFont="1" applyFill="1" applyAlignment="1">
      <alignment vertical="center"/>
    </xf>
    <xf numFmtId="0" fontId="8" fillId="7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vertical="center"/>
    </xf>
    <xf numFmtId="0" fontId="12" fillId="8" borderId="0" xfId="0" applyFont="1" applyFill="1" applyAlignment="1">
      <alignment vertical="center"/>
    </xf>
    <xf numFmtId="0" fontId="8" fillId="8" borderId="1" xfId="0" applyFont="1" applyFill="1" applyBorder="1" applyAlignment="1">
      <alignment vertical="center"/>
    </xf>
    <xf numFmtId="0" fontId="11" fillId="6" borderId="0" xfId="0" applyFont="1" applyFill="1" applyAlignment="1">
      <alignment horizontal="center" vertical="center"/>
    </xf>
    <xf numFmtId="3" fontId="8" fillId="6" borderId="0" xfId="0" applyNumberFormat="1" applyFont="1" applyFill="1" applyAlignment="1">
      <alignment vertical="center"/>
    </xf>
    <xf numFmtId="0" fontId="13" fillId="6" borderId="0" xfId="0" applyFont="1" applyFill="1" applyAlignment="1">
      <alignment horizontal="center" vertical="center"/>
    </xf>
    <xf numFmtId="0" fontId="8" fillId="7" borderId="3" xfId="0" applyFont="1" applyFill="1" applyBorder="1" applyAlignment="1">
      <alignment vertical="center"/>
    </xf>
    <xf numFmtId="0" fontId="10" fillId="9" borderId="4" xfId="0" applyFont="1" applyFill="1" applyBorder="1" applyAlignment="1">
      <alignment horizontal="center" vertical="center"/>
    </xf>
    <xf numFmtId="0" fontId="8" fillId="9" borderId="5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 wrapText="1"/>
    </xf>
    <xf numFmtId="169" fontId="8" fillId="7" borderId="3" xfId="0" applyNumberFormat="1" applyFont="1" applyFill="1" applyBorder="1" applyAlignment="1">
      <alignment horizontal="right" vertical="center"/>
    </xf>
    <xf numFmtId="169" fontId="8" fillId="6" borderId="1" xfId="0" applyNumberFormat="1" applyFont="1" applyFill="1" applyBorder="1" applyAlignment="1">
      <alignment horizontal="right" vertical="center"/>
    </xf>
    <xf numFmtId="169" fontId="8" fillId="7" borderId="1" xfId="0" applyNumberFormat="1" applyFont="1" applyFill="1" applyBorder="1" applyAlignment="1">
      <alignment horizontal="right" vertical="center"/>
    </xf>
    <xf numFmtId="169" fontId="8" fillId="8" borderId="1" xfId="0" applyNumberFormat="1" applyFont="1" applyFill="1" applyBorder="1" applyAlignment="1">
      <alignment horizontal="right" vertical="center"/>
    </xf>
    <xf numFmtId="0" fontId="8" fillId="13" borderId="1" xfId="0" applyFont="1" applyFill="1" applyBorder="1" applyAlignment="1">
      <alignment vertical="center"/>
    </xf>
    <xf numFmtId="169" fontId="8" fillId="13" borderId="1" xfId="0" applyNumberFormat="1" applyFont="1" applyFill="1" applyBorder="1" applyAlignment="1">
      <alignment horizontal="right" vertical="center"/>
    </xf>
    <xf numFmtId="0" fontId="8" fillId="8" borderId="3" xfId="0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vertical="center"/>
    </xf>
    <xf numFmtId="0" fontId="8" fillId="14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vertical="center"/>
    </xf>
    <xf numFmtId="169" fontId="8" fillId="15" borderId="1" xfId="0" applyNumberFormat="1" applyFont="1" applyFill="1" applyBorder="1" applyAlignment="1">
      <alignment horizontal="right" vertical="center"/>
    </xf>
    <xf numFmtId="3" fontId="8" fillId="13" borderId="3" xfId="0" applyNumberFormat="1" applyFont="1" applyFill="1" applyBorder="1" applyAlignment="1">
      <alignment vertical="center"/>
    </xf>
    <xf numFmtId="169" fontId="8" fillId="12" borderId="1" xfId="0" applyNumberFormat="1" applyFont="1" applyFill="1" applyBorder="1" applyAlignment="1">
      <alignment horizontal="right" vertical="center"/>
    </xf>
    <xf numFmtId="0" fontId="8" fillId="12" borderId="7" xfId="0" applyFont="1" applyFill="1" applyBorder="1" applyAlignment="1">
      <alignment vertical="center"/>
    </xf>
    <xf numFmtId="170" fontId="8" fillId="7" borderId="3" xfId="1" applyNumberFormat="1" applyFont="1" applyFill="1" applyBorder="1" applyAlignment="1">
      <alignment vertical="center"/>
    </xf>
    <xf numFmtId="170" fontId="8" fillId="15" borderId="1" xfId="1" applyNumberFormat="1" applyFont="1" applyFill="1" applyBorder="1" applyAlignment="1">
      <alignment vertical="center"/>
    </xf>
    <xf numFmtId="170" fontId="8" fillId="7" borderId="1" xfId="1" applyNumberFormat="1" applyFont="1" applyFill="1" applyBorder="1" applyAlignment="1">
      <alignment vertical="center"/>
    </xf>
    <xf numFmtId="170" fontId="8" fillId="6" borderId="1" xfId="1" applyNumberFormat="1" applyFont="1" applyFill="1" applyBorder="1" applyAlignment="1">
      <alignment vertical="center"/>
    </xf>
    <xf numFmtId="170" fontId="8" fillId="13" borderId="1" xfId="1" applyNumberFormat="1" applyFont="1" applyFill="1" applyBorder="1" applyAlignment="1">
      <alignment vertical="center"/>
    </xf>
    <xf numFmtId="170" fontId="8" fillId="8" borderId="1" xfId="1" applyNumberFormat="1" applyFont="1" applyFill="1" applyBorder="1" applyAlignment="1">
      <alignment vertical="center"/>
    </xf>
    <xf numFmtId="170" fontId="8" fillId="12" borderId="7" xfId="1" applyNumberFormat="1" applyFont="1" applyFill="1" applyBorder="1" applyAlignment="1">
      <alignment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5" xfId="0" applyFont="1" applyFill="1" applyBorder="1" applyAlignment="1">
      <alignment horizontal="center" vertical="center" wrapText="1"/>
    </xf>
    <xf numFmtId="170" fontId="8" fillId="16" borderId="9" xfId="1" applyNumberFormat="1" applyFont="1" applyFill="1" applyBorder="1" applyAlignment="1">
      <alignment horizontal="center" vertical="center"/>
    </xf>
    <xf numFmtId="0" fontId="8" fillId="18" borderId="0" xfId="0" applyFont="1" applyFill="1" applyBorder="1" applyAlignment="1">
      <alignment horizontal="center" vertical="center"/>
    </xf>
    <xf numFmtId="0" fontId="8" fillId="8" borderId="0" xfId="0" applyFont="1" applyFill="1" applyBorder="1" applyAlignment="1">
      <alignment vertical="center"/>
    </xf>
    <xf numFmtId="170" fontId="8" fillId="8" borderId="0" xfId="1" applyNumberFormat="1" applyFont="1" applyFill="1" applyBorder="1" applyAlignment="1">
      <alignment vertical="center"/>
    </xf>
    <xf numFmtId="0" fontId="8" fillId="14" borderId="0" xfId="0" applyFont="1" applyFill="1" applyBorder="1" applyAlignment="1">
      <alignment horizontal="center" vertical="center"/>
    </xf>
    <xf numFmtId="0" fontId="8" fillId="12" borderId="0" xfId="0" applyFont="1" applyFill="1" applyBorder="1" applyAlignment="1">
      <alignment vertical="center"/>
    </xf>
    <xf numFmtId="170" fontId="8" fillId="12" borderId="0" xfId="1" applyNumberFormat="1" applyFont="1" applyFill="1" applyBorder="1" applyAlignment="1">
      <alignment vertical="center"/>
    </xf>
    <xf numFmtId="169" fontId="9" fillId="11" borderId="8" xfId="0" applyNumberFormat="1" applyFont="1" applyFill="1" applyBorder="1" applyAlignment="1">
      <alignment horizontal="center" vertical="center"/>
    </xf>
    <xf numFmtId="169" fontId="9" fillId="11" borderId="9" xfId="0" applyNumberFormat="1" applyFont="1" applyFill="1" applyBorder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4" fillId="17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66FF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F4DEE-A16C-44BC-9C72-2255B7F95A90}">
  <sheetPr>
    <outlinePr summaryBelow="0" summaryRight="0"/>
  </sheetPr>
  <dimension ref="A1:I36"/>
  <sheetViews>
    <sheetView tabSelected="1" zoomScale="90" zoomScaleNormal="90" workbookViewId="0">
      <selection activeCell="F30" sqref="F30"/>
    </sheetView>
  </sheetViews>
  <sheetFormatPr defaultColWidth="12.5703125" defaultRowHeight="15.75" customHeight="1"/>
  <cols>
    <col min="1" max="1" width="5.5703125" style="34" customWidth="1"/>
    <col min="2" max="2" width="34.140625" style="29" customWidth="1"/>
    <col min="3" max="3" width="12.5703125" style="29" customWidth="1"/>
    <col min="4" max="4" width="17.5703125" style="29" bestFit="1" customWidth="1"/>
    <col min="5" max="5" width="10.5703125" style="29" customWidth="1"/>
    <col min="6" max="6" width="28.85546875" style="29" customWidth="1"/>
    <col min="7" max="16384" width="12.5703125" style="29"/>
  </cols>
  <sheetData>
    <row r="1" spans="1:9" ht="21.95" customHeight="1">
      <c r="A1" s="73" t="s">
        <v>37</v>
      </c>
      <c r="B1" s="73"/>
      <c r="C1" s="73"/>
      <c r="D1" s="73"/>
      <c r="E1" s="73"/>
    </row>
    <row r="2" spans="1:9" ht="21.95" customHeight="1">
      <c r="A2" s="36"/>
      <c r="B2" s="36"/>
      <c r="C2" s="36"/>
      <c r="D2" s="36"/>
      <c r="E2" s="36"/>
    </row>
    <row r="3" spans="1:9" ht="21.95" customHeight="1" thickBot="1">
      <c r="A3" s="74" t="s">
        <v>41</v>
      </c>
      <c r="B3" s="74"/>
      <c r="C3" s="74"/>
      <c r="D3" s="74"/>
      <c r="E3" s="74"/>
    </row>
    <row r="4" spans="1:9" ht="18" customHeight="1" thickBot="1">
      <c r="A4" s="36"/>
      <c r="B4" s="36"/>
      <c r="C4" s="36"/>
      <c r="D4" s="71">
        <v>46222</v>
      </c>
      <c r="E4" s="72"/>
    </row>
    <row r="5" spans="1:9" ht="48" thickBot="1">
      <c r="A5" s="38" t="s">
        <v>35</v>
      </c>
      <c r="B5" s="39" t="s">
        <v>0</v>
      </c>
      <c r="C5" s="39" t="s">
        <v>1</v>
      </c>
      <c r="D5" s="40" t="s">
        <v>36</v>
      </c>
      <c r="E5" s="63" t="s">
        <v>42</v>
      </c>
    </row>
    <row r="6" spans="1:9">
      <c r="A6" s="47">
        <v>1</v>
      </c>
      <c r="B6" s="37" t="s">
        <v>12</v>
      </c>
      <c r="C6" s="55">
        <v>6430</v>
      </c>
      <c r="D6" s="41">
        <v>46076</v>
      </c>
      <c r="E6" s="48">
        <f t="shared" ref="E6:E35" ca="1" si="0">TODAY()-D6</f>
        <v>146</v>
      </c>
    </row>
    <row r="7" spans="1:9">
      <c r="A7" s="49">
        <v>2</v>
      </c>
      <c r="B7" s="50" t="s">
        <v>14</v>
      </c>
      <c r="C7" s="56">
        <v>5350</v>
      </c>
      <c r="D7" s="51">
        <v>46094</v>
      </c>
      <c r="E7" s="52">
        <f t="shared" ca="1" si="0"/>
        <v>128</v>
      </c>
    </row>
    <row r="8" spans="1:9">
      <c r="A8" s="47">
        <v>3</v>
      </c>
      <c r="B8" s="30" t="s">
        <v>17</v>
      </c>
      <c r="C8" s="57">
        <v>4050</v>
      </c>
      <c r="D8" s="43">
        <v>46096</v>
      </c>
      <c r="E8" s="48">
        <f t="shared" ca="1" si="0"/>
        <v>126</v>
      </c>
    </row>
    <row r="9" spans="1:9">
      <c r="A9" s="49">
        <v>4</v>
      </c>
      <c r="B9" s="50" t="s">
        <v>4</v>
      </c>
      <c r="C9" s="56">
        <v>4140</v>
      </c>
      <c r="D9" s="51">
        <v>46218</v>
      </c>
      <c r="E9" s="52">
        <f t="shared" ca="1" si="0"/>
        <v>4</v>
      </c>
    </row>
    <row r="10" spans="1:9">
      <c r="A10" s="47">
        <v>5</v>
      </c>
      <c r="B10" s="33" t="s">
        <v>39</v>
      </c>
      <c r="C10" s="58">
        <v>6700</v>
      </c>
      <c r="D10" s="42">
        <v>46221</v>
      </c>
      <c r="E10" s="48">
        <f t="shared" ca="1" si="0"/>
        <v>1</v>
      </c>
      <c r="F10" s="32"/>
      <c r="G10" s="32"/>
      <c r="H10" s="32"/>
      <c r="I10" s="32"/>
    </row>
    <row r="11" spans="1:9">
      <c r="A11" s="49">
        <v>6</v>
      </c>
      <c r="B11" s="45" t="s">
        <v>15</v>
      </c>
      <c r="C11" s="59">
        <v>650</v>
      </c>
      <c r="D11" s="46">
        <v>46108</v>
      </c>
      <c r="E11" s="52">
        <f t="shared" ca="1" si="0"/>
        <v>114</v>
      </c>
    </row>
    <row r="12" spans="1:9">
      <c r="A12" s="47">
        <v>7</v>
      </c>
      <c r="B12" s="30"/>
      <c r="C12" s="57"/>
      <c r="D12" s="43"/>
      <c r="E12" s="48"/>
      <c r="F12" s="32"/>
      <c r="G12" s="32"/>
      <c r="H12" s="32"/>
      <c r="I12" s="32"/>
    </row>
    <row r="13" spans="1:9">
      <c r="A13" s="49">
        <v>8</v>
      </c>
      <c r="B13" s="45" t="s">
        <v>38</v>
      </c>
      <c r="C13" s="59">
        <v>23690</v>
      </c>
      <c r="D13" s="46">
        <v>46142</v>
      </c>
      <c r="E13" s="52">
        <f t="shared" ca="1" si="0"/>
        <v>80</v>
      </c>
    </row>
    <row r="14" spans="1:9">
      <c r="A14" s="47">
        <v>9</v>
      </c>
      <c r="B14" s="30" t="s">
        <v>29</v>
      </c>
      <c r="C14" s="57">
        <v>9950</v>
      </c>
      <c r="D14" s="43">
        <v>46218</v>
      </c>
      <c r="E14" s="48">
        <f t="shared" ca="1" si="0"/>
        <v>4</v>
      </c>
    </row>
    <row r="15" spans="1:9">
      <c r="A15" s="49">
        <v>10</v>
      </c>
      <c r="B15" s="45" t="s">
        <v>19</v>
      </c>
      <c r="C15" s="59">
        <v>3250</v>
      </c>
      <c r="D15" s="46">
        <v>46146</v>
      </c>
      <c r="E15" s="52">
        <f t="shared" ca="1" si="0"/>
        <v>76</v>
      </c>
    </row>
    <row r="16" spans="1:9">
      <c r="A16" s="47">
        <v>11</v>
      </c>
      <c r="B16" s="31" t="s">
        <v>5</v>
      </c>
      <c r="C16" s="58">
        <v>2800</v>
      </c>
      <c r="D16" s="44">
        <v>46149</v>
      </c>
      <c r="E16" s="48">
        <f t="shared" ca="1" si="0"/>
        <v>73</v>
      </c>
      <c r="F16" s="32"/>
      <c r="G16" s="32"/>
      <c r="H16" s="32"/>
      <c r="I16" s="32"/>
    </row>
    <row r="17" spans="1:9">
      <c r="A17" s="49">
        <v>12</v>
      </c>
      <c r="B17" s="50" t="s">
        <v>21</v>
      </c>
      <c r="C17" s="56">
        <f>4500+6050+2700+110+800</f>
        <v>14160</v>
      </c>
      <c r="D17" s="51">
        <v>46150</v>
      </c>
      <c r="E17" s="52">
        <f t="shared" ca="1" si="0"/>
        <v>72</v>
      </c>
    </row>
    <row r="18" spans="1:9" ht="19.5" customHeight="1">
      <c r="A18" s="47">
        <v>13</v>
      </c>
      <c r="B18" s="31" t="s">
        <v>6</v>
      </c>
      <c r="C18" s="58">
        <f>5640-2000-1000-1000</f>
        <v>1640</v>
      </c>
      <c r="D18" s="42">
        <v>46155</v>
      </c>
      <c r="E18" s="48">
        <f t="shared" ca="1" si="0"/>
        <v>67</v>
      </c>
    </row>
    <row r="19" spans="1:9" ht="15.75" customHeight="1">
      <c r="A19" s="49">
        <v>14</v>
      </c>
      <c r="B19" s="50" t="s">
        <v>7</v>
      </c>
      <c r="C19" s="56">
        <f>1550+900+150</f>
        <v>2600</v>
      </c>
      <c r="D19" s="51">
        <v>46157</v>
      </c>
      <c r="E19" s="52">
        <f t="shared" ca="1" si="0"/>
        <v>65</v>
      </c>
    </row>
    <row r="20" spans="1:9" ht="15.75" customHeight="1">
      <c r="A20" s="47">
        <v>15</v>
      </c>
      <c r="B20" s="30" t="s">
        <v>25</v>
      </c>
      <c r="C20" s="57">
        <v>900</v>
      </c>
      <c r="D20" s="43">
        <v>46161</v>
      </c>
      <c r="E20" s="48">
        <f t="shared" ca="1" si="0"/>
        <v>61</v>
      </c>
    </row>
    <row r="21" spans="1:9" ht="15.75" customHeight="1">
      <c r="A21" s="49">
        <v>16</v>
      </c>
      <c r="B21" s="45"/>
      <c r="C21" s="59"/>
      <c r="D21" s="46"/>
      <c r="E21" s="52"/>
    </row>
    <row r="22" spans="1:9" ht="15.75" customHeight="1">
      <c r="A22" s="47">
        <v>17</v>
      </c>
      <c r="B22" s="31"/>
      <c r="C22" s="58"/>
      <c r="D22" s="44"/>
      <c r="E22" s="48"/>
    </row>
    <row r="23" spans="1:9" ht="15.75" customHeight="1">
      <c r="A23" s="49">
        <v>18</v>
      </c>
      <c r="B23" s="45" t="s">
        <v>31</v>
      </c>
      <c r="C23" s="59">
        <v>1900</v>
      </c>
      <c r="D23" s="46">
        <v>46177</v>
      </c>
      <c r="E23" s="52">
        <f t="shared" ca="1" si="0"/>
        <v>45</v>
      </c>
      <c r="F23" s="32"/>
      <c r="G23" s="32"/>
      <c r="H23" s="32"/>
      <c r="I23" s="32"/>
    </row>
    <row r="24" spans="1:9" ht="15.75" customHeight="1">
      <c r="A24" s="47">
        <v>19</v>
      </c>
      <c r="B24" s="31" t="s">
        <v>18</v>
      </c>
      <c r="C24" s="58">
        <v>3600</v>
      </c>
      <c r="D24" s="44">
        <v>46217</v>
      </c>
      <c r="E24" s="48">
        <f t="shared" ca="1" si="0"/>
        <v>5</v>
      </c>
    </row>
    <row r="25" spans="1:9" ht="15.75" customHeight="1">
      <c r="A25" s="49">
        <v>20</v>
      </c>
      <c r="B25" s="50" t="s">
        <v>20</v>
      </c>
      <c r="C25" s="56">
        <f>1600+2000</f>
        <v>3600</v>
      </c>
      <c r="D25" s="51">
        <v>46183</v>
      </c>
      <c r="E25" s="52">
        <f t="shared" ca="1" si="0"/>
        <v>39</v>
      </c>
    </row>
    <row r="26" spans="1:9" ht="15.75" customHeight="1">
      <c r="A26" s="47">
        <v>21</v>
      </c>
      <c r="B26" s="33" t="s">
        <v>23</v>
      </c>
      <c r="C26" s="60">
        <v>5250</v>
      </c>
      <c r="D26" s="44">
        <v>46187</v>
      </c>
      <c r="E26" s="48">
        <f t="shared" ca="1" si="0"/>
        <v>35</v>
      </c>
    </row>
    <row r="27" spans="1:9" ht="15.75" customHeight="1">
      <c r="A27" s="49">
        <v>22</v>
      </c>
      <c r="B27" s="45" t="s">
        <v>22</v>
      </c>
      <c r="C27" s="59">
        <v>4900</v>
      </c>
      <c r="D27" s="53">
        <v>46193</v>
      </c>
      <c r="E27" s="52">
        <f t="shared" ca="1" si="0"/>
        <v>29</v>
      </c>
    </row>
    <row r="28" spans="1:9" ht="15.75" customHeight="1">
      <c r="A28" s="47">
        <v>23</v>
      </c>
      <c r="B28" s="30" t="s">
        <v>43</v>
      </c>
      <c r="C28" s="57">
        <v>1700</v>
      </c>
      <c r="D28" s="43">
        <v>46211</v>
      </c>
      <c r="E28" s="48">
        <f t="shared" ca="1" si="0"/>
        <v>11</v>
      </c>
    </row>
    <row r="29" spans="1:9" ht="15.75" customHeight="1">
      <c r="A29" s="49">
        <v>24</v>
      </c>
      <c r="B29" s="50" t="s">
        <v>8</v>
      </c>
      <c r="C29" s="56">
        <f>10600</f>
        <v>10600</v>
      </c>
      <c r="D29" s="51">
        <v>46201</v>
      </c>
      <c r="E29" s="52">
        <f t="shared" ca="1" si="0"/>
        <v>21</v>
      </c>
    </row>
    <row r="30" spans="1:9" ht="15.75" customHeight="1">
      <c r="A30" s="47">
        <v>25</v>
      </c>
      <c r="B30" s="30" t="s">
        <v>28</v>
      </c>
      <c r="C30" s="57">
        <v>13070</v>
      </c>
      <c r="D30" s="43">
        <v>46213</v>
      </c>
      <c r="E30" s="48">
        <f t="shared" ca="1" si="0"/>
        <v>9</v>
      </c>
    </row>
    <row r="31" spans="1:9" ht="15.75" customHeight="1">
      <c r="A31" s="49">
        <v>26</v>
      </c>
      <c r="B31" s="50" t="s">
        <v>24</v>
      </c>
      <c r="C31" s="56">
        <f>4070+170</f>
        <v>4240</v>
      </c>
      <c r="D31" s="51">
        <v>46193</v>
      </c>
      <c r="E31" s="52">
        <f t="shared" ca="1" si="0"/>
        <v>29</v>
      </c>
    </row>
    <row r="32" spans="1:9" ht="15.75" customHeight="1">
      <c r="A32" s="47">
        <v>27</v>
      </c>
      <c r="B32" s="31" t="s">
        <v>30</v>
      </c>
      <c r="C32" s="58">
        <v>1880</v>
      </c>
      <c r="D32" s="43">
        <v>45871</v>
      </c>
      <c r="E32" s="48">
        <f t="shared" ca="1" si="0"/>
        <v>351</v>
      </c>
      <c r="F32" s="32"/>
      <c r="G32" s="32"/>
      <c r="H32" s="32"/>
      <c r="I32" s="32"/>
    </row>
    <row r="33" spans="1:5" ht="15.75" customHeight="1">
      <c r="A33" s="49">
        <v>28</v>
      </c>
      <c r="B33" s="54" t="s">
        <v>44</v>
      </c>
      <c r="C33" s="61">
        <v>1500</v>
      </c>
      <c r="D33" s="51">
        <v>46220</v>
      </c>
      <c r="E33" s="52">
        <f t="shared" ca="1" si="0"/>
        <v>2</v>
      </c>
    </row>
    <row r="34" spans="1:5" ht="15.75" customHeight="1">
      <c r="A34" s="65">
        <v>29</v>
      </c>
      <c r="B34" s="66" t="s">
        <v>45</v>
      </c>
      <c r="C34" s="67">
        <v>450</v>
      </c>
      <c r="D34" s="43">
        <v>46220</v>
      </c>
      <c r="E34" s="48"/>
    </row>
    <row r="35" spans="1:5" ht="15.75" customHeight="1" thickBot="1">
      <c r="A35" s="68"/>
      <c r="B35" s="69"/>
      <c r="C35" s="70"/>
      <c r="D35" s="51"/>
      <c r="E35" s="52"/>
    </row>
    <row r="36" spans="1:5" ht="15.75" customHeight="1" thickBot="1">
      <c r="B36" s="62" t="s">
        <v>40</v>
      </c>
      <c r="C36" s="64">
        <f>SUM(C6:C35)</f>
        <v>139000</v>
      </c>
      <c r="E36" s="35"/>
    </row>
  </sheetData>
  <sortState ref="A6:E33">
    <sortCondition descending="1" ref="E6:E33"/>
  </sortState>
  <mergeCells count="3">
    <mergeCell ref="D4:E4"/>
    <mergeCell ref="A1:E1"/>
    <mergeCell ref="A3:E3"/>
  </mergeCells>
  <printOptions horizontalCentere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7"/>
  <sheetViews>
    <sheetView workbookViewId="0">
      <selection activeCell="E2" sqref="E2"/>
    </sheetView>
  </sheetViews>
  <sheetFormatPr defaultColWidth="12.5703125" defaultRowHeight="15.75" customHeight="1"/>
  <cols>
    <col min="1" max="1" width="3.140625" customWidth="1"/>
    <col min="2" max="2" width="31" customWidth="1"/>
    <col min="3" max="3" width="18.42578125" customWidth="1"/>
    <col min="4" max="4" width="25.85546875" customWidth="1"/>
    <col min="5" max="5" width="24.5703125" customWidth="1"/>
    <col min="6" max="6" width="5.42578125" customWidth="1"/>
    <col min="7" max="7" width="29.7109375" customWidth="1"/>
    <col min="8" max="8" width="16.140625" customWidth="1"/>
    <col min="9" max="9" width="14.140625" customWidth="1"/>
    <col min="10" max="10" width="28.85546875" customWidth="1"/>
  </cols>
  <sheetData>
    <row r="1" spans="1:13" ht="26.25">
      <c r="B1" s="1" t="s">
        <v>0</v>
      </c>
      <c r="C1" s="1" t="s">
        <v>1</v>
      </c>
      <c r="D1" s="2" t="s">
        <v>2</v>
      </c>
      <c r="E1" s="3">
        <v>46214</v>
      </c>
      <c r="G1" s="1" t="s">
        <v>3</v>
      </c>
      <c r="H1" s="4" t="s">
        <v>1</v>
      </c>
    </row>
    <row r="2" spans="1:13" ht="18">
      <c r="A2" s="5">
        <v>1</v>
      </c>
      <c r="B2" s="6" t="s">
        <v>4</v>
      </c>
      <c r="C2" s="7">
        <f>8140-3000</f>
        <v>5140</v>
      </c>
      <c r="D2" s="8">
        <v>46104</v>
      </c>
      <c r="F2" s="9">
        <v>1</v>
      </c>
      <c r="G2" s="10" t="s">
        <v>5</v>
      </c>
      <c r="H2" s="11">
        <v>2800</v>
      </c>
      <c r="I2" s="12">
        <v>46149</v>
      </c>
    </row>
    <row r="3" spans="1:13" ht="18">
      <c r="A3" s="13">
        <v>2</v>
      </c>
      <c r="B3" s="10" t="s">
        <v>6</v>
      </c>
      <c r="C3" s="11">
        <f>5640-2000-1000-1000</f>
        <v>1640</v>
      </c>
      <c r="D3" s="14">
        <v>46155</v>
      </c>
      <c r="E3" s="15"/>
      <c r="F3" s="16">
        <v>2</v>
      </c>
      <c r="G3" s="6" t="s">
        <v>7</v>
      </c>
      <c r="H3" s="7">
        <f>1550+900+150</f>
        <v>2600</v>
      </c>
      <c r="I3" s="17">
        <v>46157</v>
      </c>
    </row>
    <row r="4" spans="1:13" ht="18">
      <c r="A4" s="5">
        <v>3</v>
      </c>
      <c r="B4" s="6" t="s">
        <v>8</v>
      </c>
      <c r="C4" s="7">
        <f>10600</f>
        <v>10600</v>
      </c>
      <c r="D4" s="8">
        <v>46201</v>
      </c>
      <c r="F4" s="9">
        <v>3</v>
      </c>
      <c r="G4" s="10" t="s">
        <v>9</v>
      </c>
      <c r="H4" s="11">
        <v>700</v>
      </c>
      <c r="I4" s="14">
        <v>46161</v>
      </c>
      <c r="J4" s="18"/>
      <c r="K4" s="18"/>
      <c r="L4" s="18"/>
      <c r="M4" s="18"/>
    </row>
    <row r="5" spans="1:13" ht="18">
      <c r="A5" s="13">
        <v>4</v>
      </c>
      <c r="B5" s="10" t="s">
        <v>10</v>
      </c>
      <c r="C5" s="11">
        <v>23690</v>
      </c>
      <c r="D5" s="19">
        <v>46142</v>
      </c>
      <c r="E5" s="15"/>
      <c r="F5" s="16">
        <v>4</v>
      </c>
      <c r="G5" s="6" t="s">
        <v>11</v>
      </c>
      <c r="H5" s="7">
        <v>200</v>
      </c>
      <c r="I5" s="8">
        <v>46135</v>
      </c>
    </row>
    <row r="6" spans="1:13" ht="18">
      <c r="A6" s="5">
        <v>5</v>
      </c>
      <c r="B6" s="6" t="s">
        <v>12</v>
      </c>
      <c r="C6" s="7">
        <v>6430</v>
      </c>
      <c r="D6" s="20">
        <v>46076</v>
      </c>
      <c r="F6" s="9">
        <v>5</v>
      </c>
      <c r="G6" s="21" t="s">
        <v>13</v>
      </c>
      <c r="H6" s="11">
        <f>3300+6700</f>
        <v>10000</v>
      </c>
      <c r="I6" s="19">
        <v>46108</v>
      </c>
      <c r="J6" s="18"/>
      <c r="K6" s="18"/>
      <c r="L6" s="18"/>
      <c r="M6" s="18"/>
    </row>
    <row r="7" spans="1:13" ht="18">
      <c r="A7" s="13"/>
      <c r="B7" s="10"/>
      <c r="C7" s="11"/>
      <c r="D7" s="14"/>
      <c r="E7" s="15"/>
      <c r="F7" s="16">
        <v>6</v>
      </c>
      <c r="G7" s="6" t="s">
        <v>14</v>
      </c>
      <c r="H7" s="7">
        <v>5350</v>
      </c>
      <c r="I7" s="20">
        <v>46094</v>
      </c>
    </row>
    <row r="8" spans="1:13" ht="18">
      <c r="A8" s="9"/>
      <c r="F8" s="9">
        <v>7</v>
      </c>
      <c r="G8" s="10" t="s">
        <v>15</v>
      </c>
      <c r="H8" s="11">
        <v>650</v>
      </c>
      <c r="I8" s="14">
        <v>46108</v>
      </c>
      <c r="J8" s="18"/>
      <c r="K8" s="18"/>
      <c r="L8" s="18"/>
      <c r="M8" s="18"/>
    </row>
    <row r="9" spans="1:13" ht="18">
      <c r="A9" s="16">
        <v>16</v>
      </c>
      <c r="B9" s="6" t="s">
        <v>16</v>
      </c>
      <c r="C9" s="6">
        <v>1050</v>
      </c>
      <c r="D9" s="17">
        <v>46194</v>
      </c>
      <c r="E9" s="15"/>
      <c r="F9" s="16">
        <v>8</v>
      </c>
      <c r="G9" s="6" t="s">
        <v>17</v>
      </c>
      <c r="H9" s="7">
        <v>4050</v>
      </c>
      <c r="I9" s="20">
        <v>46096</v>
      </c>
    </row>
    <row r="10" spans="1:13" ht="18">
      <c r="A10" s="9">
        <v>17</v>
      </c>
      <c r="B10" s="10" t="s">
        <v>18</v>
      </c>
      <c r="C10" s="10">
        <f>1500+800</f>
        <v>2300</v>
      </c>
      <c r="D10" s="22">
        <v>46180</v>
      </c>
      <c r="F10" s="9">
        <v>9</v>
      </c>
      <c r="G10" s="10" t="s">
        <v>19</v>
      </c>
      <c r="H10" s="11">
        <v>3250</v>
      </c>
      <c r="I10" s="14">
        <v>46146</v>
      </c>
      <c r="J10" s="18"/>
      <c r="K10" s="18"/>
      <c r="L10" s="18"/>
      <c r="M10" s="18"/>
    </row>
    <row r="11" spans="1:13" ht="18">
      <c r="A11" s="16">
        <v>18</v>
      </c>
      <c r="B11" s="6" t="s">
        <v>20</v>
      </c>
      <c r="C11" s="6">
        <f>1600+2000</f>
        <v>3600</v>
      </c>
      <c r="D11" s="17">
        <v>46183</v>
      </c>
      <c r="E11" s="15"/>
      <c r="F11" s="16">
        <v>10</v>
      </c>
      <c r="G11" s="6" t="s">
        <v>21</v>
      </c>
      <c r="H11" s="7">
        <f>4500+6050+2700+110+800</f>
        <v>14160</v>
      </c>
      <c r="I11" s="20">
        <v>46150</v>
      </c>
    </row>
    <row r="12" spans="1:13" ht="18">
      <c r="A12" s="13">
        <v>19</v>
      </c>
      <c r="B12" s="10" t="s">
        <v>22</v>
      </c>
      <c r="C12" s="10">
        <v>4900</v>
      </c>
      <c r="D12" s="22">
        <v>46193</v>
      </c>
      <c r="F12" s="9">
        <v>11</v>
      </c>
      <c r="G12" s="21" t="s">
        <v>23</v>
      </c>
      <c r="H12" s="23">
        <v>5250</v>
      </c>
      <c r="I12" s="22">
        <v>46187</v>
      </c>
      <c r="J12" s="18"/>
      <c r="K12" s="18"/>
      <c r="L12" s="18"/>
      <c r="M12" s="18"/>
    </row>
    <row r="13" spans="1:13" ht="18">
      <c r="A13" s="16">
        <v>20</v>
      </c>
      <c r="B13" s="6" t="s">
        <v>24</v>
      </c>
      <c r="C13" s="7">
        <f>4070+170</f>
        <v>4240</v>
      </c>
      <c r="D13" s="24"/>
      <c r="E13" s="15"/>
      <c r="F13" s="16">
        <v>12</v>
      </c>
      <c r="G13" s="6" t="s">
        <v>25</v>
      </c>
      <c r="H13" s="7">
        <v>900</v>
      </c>
      <c r="I13" s="17">
        <v>46161</v>
      </c>
    </row>
    <row r="14" spans="1:13" ht="18">
      <c r="A14" s="13">
        <v>20</v>
      </c>
      <c r="B14" s="21" t="s">
        <v>26</v>
      </c>
      <c r="C14" s="23">
        <v>500</v>
      </c>
      <c r="D14" s="19"/>
      <c r="F14" s="9">
        <v>13</v>
      </c>
      <c r="G14" s="10" t="s">
        <v>27</v>
      </c>
      <c r="H14" s="11">
        <v>1000</v>
      </c>
      <c r="I14" s="22">
        <v>46176</v>
      </c>
      <c r="J14" s="18"/>
      <c r="K14" s="18"/>
      <c r="L14" s="18"/>
      <c r="M14" s="18"/>
    </row>
    <row r="15" spans="1:13" ht="18">
      <c r="A15" s="5">
        <v>21</v>
      </c>
      <c r="B15" s="6" t="s">
        <v>28</v>
      </c>
      <c r="C15" s="7">
        <v>13070</v>
      </c>
      <c r="D15" s="20"/>
      <c r="E15" s="15"/>
      <c r="F15" s="16">
        <v>14</v>
      </c>
      <c r="G15" s="6" t="s">
        <v>29</v>
      </c>
      <c r="H15" s="7">
        <v>11950</v>
      </c>
      <c r="I15" s="17">
        <v>46146</v>
      </c>
    </row>
    <row r="16" spans="1:13" ht="19.5" customHeight="1">
      <c r="A16" s="9">
        <v>22</v>
      </c>
      <c r="B16" s="10" t="s">
        <v>30</v>
      </c>
      <c r="C16" s="11">
        <v>1880</v>
      </c>
      <c r="F16" s="9">
        <v>15</v>
      </c>
      <c r="G16" s="10" t="s">
        <v>31</v>
      </c>
      <c r="H16" s="11">
        <v>1900</v>
      </c>
      <c r="I16" s="25">
        <v>46177</v>
      </c>
    </row>
    <row r="17" spans="2:8" ht="30.75" customHeight="1">
      <c r="B17" s="1" t="s">
        <v>32</v>
      </c>
      <c r="C17" s="26">
        <f>SUM(C2:C13)</f>
        <v>63590</v>
      </c>
      <c r="D17" s="27" t="s">
        <v>33</v>
      </c>
      <c r="E17" s="28">
        <f>SUM(H17,C17)</f>
        <v>128350</v>
      </c>
      <c r="G17" s="1" t="s">
        <v>34</v>
      </c>
      <c r="H17" s="26">
        <f>SUM(H2:H16)</f>
        <v>64760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 July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Wahidujjaman Anik</cp:lastModifiedBy>
  <dcterms:modified xsi:type="dcterms:W3CDTF">2026-07-19T08:27:57Z</dcterms:modified>
</cp:coreProperties>
</file>